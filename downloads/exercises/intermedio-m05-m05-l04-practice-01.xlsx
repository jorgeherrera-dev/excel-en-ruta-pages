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ab462ca9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las con fórmulas" sheetId="1" r:id="R93111e14f112438e"/>
    <x:sheet xmlns:r="http://schemas.openxmlformats.org/officeDocument/2006/relationships" name="Instrucciones" sheetId="2" r:id="Re968d64c8e6a4cf7"/>
    <x:sheet xmlns:r="http://schemas.openxmlformats.org/officeDocument/2006/relationships" name="Fuente técnica" sheetId="3" r:id="Rd84b0eec5c71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71a9785454f91" /><Relationship Type="http://schemas.openxmlformats.org/officeDocument/2006/relationships/theme" Target="/xl/theme/theme1.xml" Id="R2d752238eee144b7" /><Relationship Type="http://schemas.openxmlformats.org/officeDocument/2006/relationships/sharedStrings" Target="/xl/sharedStrings.xml" Id="R3d28fd6d4532455f" /><Relationship Type="http://schemas.openxmlformats.org/officeDocument/2006/relationships/worksheet" Target="/xl/worksheets/sheet1.xml" Id="R93111e14f112438e" /><Relationship Type="http://schemas.openxmlformats.org/officeDocument/2006/relationships/worksheet" Target="/xl/worksheets/sheet2.xml" Id="Re968d64c8e6a4cf7" /><Relationship Type="http://schemas.openxmlformats.org/officeDocument/2006/relationships/worksheet" Target="/xl/worksheets/sheet3.xml" Id="Rd84b0eec5c7145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7" hidden="0" customWidth="1"/>
    <x:col min="5" max="5" width="16" hidden="0" customWidth="1"/>
    <x:col min="6" max="6" width="38" hidden="0" customWidth="1"/>
    <x:col min="7" max="7" width="38" hidden="0" customWidth="1"/>
    <x:col min="8" max="8" width="34" hidden="0" customWidth="1"/>
  </x:cols>
  <x:sheetData>
    <x:row r="1" ht="24" customHeight="1">
      <x:c r="A1" s="2" t="str">
        <x:v>M05-L04 — Formato condicional con fórmulas</x:v>
      </x:c>
    </x:row>
    <x:row r="2" ht="40" customHeight="1">
      <x:c r="A2" s="4" t="str">
        <x:v>Crea reglas lógicas que devuelvan VERDADERO/FALSO para decidir cuándo aplicar formato.</x:v>
      </x:c>
    </x:row>
    <x:row r="4">
      <x:c r="A4" s="9" t="str">
        <x:v>Tarea</x:v>
      </x:c>
      <x:c r="B4" s="9" t="str">
        <x:v>Responsable</x:v>
      </x:c>
      <x:c r="C4" s="9" t="str">
        <x:v>Importe</x:v>
      </x:c>
      <x:c r="D4" s="9" t="str">
        <x:v>Fecha límite</x:v>
      </x:c>
      <x:c r="E4" s="9" t="str">
        <x:v>Estado</x:v>
      </x:c>
      <x:c r="F4" s="9" t="str">
        <x:v>Regla 1</x:v>
      </x:c>
      <x:c r="G4" s="9" t="str">
        <x:v>Regla 2</x:v>
      </x:c>
      <x:c r="H4" s="9" t="str">
        <x:v>Qué debería ocurrir</x:v>
      </x:c>
    </x:row>
    <x:row r="5">
      <x:c r="A5" s="18" t="str">
        <x:v>Licencias</x:v>
      </x:c>
      <x:c r="B5" s="18" t="str">
        <x:v>Ana</x:v>
      </x:c>
      <x:c r="C5" s="18" t="n">
        <x:v>7200</x:v>
      </x:c>
      <x:c r="D5" s="19" t="n">
        <x:f>TODAY()+(-7)</x:f>
        <x:v>46254</x:v>
      </x:c>
      <x:c r="E5" s="18" t="str">
        <x:v>Pendiente</x:v>
      </x:c>
      <x:c r="F5" s="16" t="str">
        <x:v>=Y($D5&lt;HOY();$E5&lt;&gt;"Completado")</x:v>
      </x:c>
      <x:c r="G5" s="16" t="str">
        <x:v>=Y($C5&gt;=5000;$E5="Pendiente")</x:v>
      </x:c>
      <x:c r="H5" t="str">
        <x:v>Vencida y de importe alto</x:v>
      </x:c>
    </x:row>
    <x:row r="6">
      <x:c r="A6" s="18" t="str">
        <x:v>Papelería</x:v>
      </x:c>
      <x:c r="B6" s="18" t="str">
        <x:v>Luis</x:v>
      </x:c>
      <x:c r="C6" s="18" t="n">
        <x:v>850</x:v>
      </x:c>
      <x:c r="D6" s="19" t="n">
        <x:f>TODAY()+(5)</x:f>
        <x:v>46266</x:v>
      </x:c>
      <x:c r="E6" s="18" t="str">
        <x:v>Pendiente</x:v>
      </x:c>
      <x:c r="F6" s="16" t="str">
        <x:v>=Y($D6&lt;HOY();$E6&lt;&gt;"Completado")</x:v>
      </x:c>
      <x:c r="G6" s="16" t="str">
        <x:v>=Y($C6&gt;=5000;$E6="Pendiente")</x:v>
      </x:c>
      <x:c r="H6" t="str">
        <x:v>Sólo si vence</x:v>
      </x:c>
    </x:row>
    <x:row r="7">
      <x:c r="A7" s="18" t="str">
        <x:v>Servidor</x:v>
      </x:c>
      <x:c r="B7" s="18" t="str">
        <x:v>María</x:v>
      </x:c>
      <x:c r="C7" s="18" t="n">
        <x:v>28000</x:v>
      </x:c>
      <x:c r="D7" s="19" t="n">
        <x:f>TODAY()+(-2)</x:f>
        <x:v>46259</x:v>
      </x:c>
      <x:c r="E7" s="18" t="str">
        <x:v>Completado</x:v>
      </x:c>
      <x:c r="F7" s="16" t="str">
        <x:v>=Y($D7&lt;HOY();$E7&lt;&gt;"Completado")</x:v>
      </x:c>
      <x:c r="G7" s="16" t="str">
        <x:v>=Y($C7&gt;=5000;$E7="Pendiente")</x:v>
      </x:c>
      <x:c r="H7" t="str">
        <x:v>Completada</x:v>
      </x:c>
    </x:row>
    <x:row r="8">
      <x:c r="A8" s="18" t="str">
        <x:v>Mantenimiento</x:v>
      </x:c>
      <x:c r="B8" s="18" t="str">
        <x:v>Carlos</x:v>
      </x:c>
      <x:c r="C8" s="18" t="n">
        <x:v>4300</x:v>
      </x:c>
      <x:c r="D8" s="19" t="n">
        <x:f>TODAY()+(10)</x:f>
        <x:v>46271</x:v>
      </x:c>
      <x:c r="E8" s="18" t="str">
        <x:v>Pendiente</x:v>
      </x:c>
      <x:c r="F8" s="16" t="str">
        <x:v>=Y($D8&lt;HOY();$E8&lt;&gt;"Completado")</x:v>
      </x:c>
      <x:c r="G8" s="16" t="str">
        <x:v>=Y($C8&gt;=5000;$E8="Pendiente")</x:v>
      </x:c>
      <x:c r="H8" t="str">
        <x:v>Próxima</x:v>
      </x:c>
    </x:row>
    <x:row r="9">
      <x:c r="A9" s="18" t="str">
        <x:v>Capacitación</x:v>
      </x:c>
      <x:c r="B9" s="18" t="str">
        <x:v>Sofía</x:v>
      </x:c>
      <x:c r="C9" s="18" t="n">
        <x:v>6500</x:v>
      </x:c>
      <x:c r="D9" s="19" t="n">
        <x:f>TODAY()+(20)</x:f>
        <x:v>46281</x:v>
      </x:c>
      <x:c r="E9" s="18" t="str">
        <x:v>Pendiente</x:v>
      </x:c>
      <x:c r="F9" s="16" t="str">
        <x:v>=Y($D9&lt;HOY();$E9&lt;&gt;"Completado")</x:v>
      </x:c>
      <x:c r="G9" s="16" t="str">
        <x:v>=Y($C9&gt;=5000;$E9="Pendiente")</x:v>
      </x:c>
      <x:c r="H9" t="str">
        <x:v>Importe alto</x:v>
      </x:c>
    </x:row>
    <x:row r="10">
      <x:c r="A10" s="18" t="str">
        <x:v>Impresoras</x:v>
      </x:c>
      <x:c r="B10" s="18" t="str">
        <x:v>Pedro</x:v>
      </x:c>
      <x:c r="C10" s="18" t="n">
        <x:v>9400</x:v>
      </x:c>
      <x:c r="D10" s="19" t="n">
        <x:f>TODAY()+(3)</x:f>
        <x:v>46264</x:v>
      </x:c>
      <x:c r="E10" s="18" t="str">
        <x:v>Completado</x:v>
      </x:c>
      <x:c r="F10" s="16" t="str">
        <x:v>=Y($D10&lt;HOY();$E10&lt;&gt;"Completado")</x:v>
      </x:c>
      <x:c r="G10" s="16" t="str">
        <x:v>=Y($C10&gt;=5000;$E10="Pendiente")</x:v>
      </x:c>
      <x:c r="H10" t="str">
        <x:v>Completada</x:v>
      </x:c>
    </x:row>
    <x:row r="11">
      <x:c r="A11" s="18" t="str">
        <x:v>Respaldos</x:v>
      </x:c>
      <x:c r="B11" s="18" t="str">
        <x:v>Elena</x:v>
      </x:c>
      <x:c r="C11" s="18" t="n">
        <x:v>3100</x:v>
      </x:c>
      <x:c r="D11" s="19" t="n">
        <x:f>TODAY()+(-1)</x:f>
        <x:v>46260</x:v>
      </x:c>
      <x:c r="E11" s="18" t="str">
        <x:v>Pendiente</x:v>
      </x:c>
      <x:c r="F11" s="16" t="str">
        <x:v>=Y($D11&lt;HOY();$E11&lt;&gt;"Completado")</x:v>
      </x:c>
      <x:c r="G11" s="16" t="str">
        <x:v>=Y($C11&gt;=5000;$E11="Pendiente")</x:v>
      </x:c>
      <x:c r="H11" t="str">
        <x:v>Vencida</x:v>
      </x:c>
    </x:row>
    <x:row r="12">
      <x:c r="A12" s="18" t="str">
        <x:v>Monitores</x:v>
      </x:c>
      <x:c r="B12" s="18" t="str">
        <x:v>Jorge</x:v>
      </x:c>
      <x:c r="C12" s="18" t="n">
        <x:v>12800</x:v>
      </x:c>
      <x:c r="D12" s="19" t="n">
        <x:f>TODAY()+(15)</x:f>
        <x:v>46276</x:v>
      </x:c>
      <x:c r="E12" s="18" t="str">
        <x:v>Pendiente</x:v>
      </x:c>
      <x:c r="F12" s="16" t="str">
        <x:v>=Y($D12&lt;HOY();$E12&lt;&gt;"Completado")</x:v>
      </x:c>
      <x:c r="G12" s="16" t="str">
        <x:v>=Y($C12&gt;=5000;$E12="Pendiente")</x:v>
      </x:c>
      <x:c r="H12" t="str">
        <x:v>Importe alto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2" t="str">
        <x:v>M05-L04 — Formato condicional con fórmulas</x:v>
      </x:c>
    </x:row>
    <x:row r="2">
      <x:c r="A2" s="4" t="str">
        <x:v>1. Selecciona el rango que recibirá formato, no sólo la celda usada en la condición.</x:v>
      </x:c>
    </x:row>
    <x:row r="3">
      <x:c r="A3" s="4" t="str">
        <x:v>2. Crea una regla con 'Usar una fórmula para determinar las celdas para aplicar formato'.</x:v>
      </x:c>
    </x:row>
    <x:row r="4">
      <x:c r="A4" s="4" t="str">
        <x:v>3. La fórmula debe comenzar con = y devolver VERDADERO o FALSO.</x:v>
      </x:c>
    </x:row>
    <x:row r="5">
      <x:c r="A5" s="4" t="str">
        <x:v>4. Ajusta referencias absolutas y relativas antes de copiar la regla.</x:v>
      </x:c>
    </x:row>
    <x:row r="6">
      <x:c r="A6" s="4" t="str">
        <x:v>5. Prueba cada regla por separado antes de combinar varias condiciones.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Usar formato condicional para resaltar información</x:v>
      </x:c>
    </x:row>
    <x:row r="3">
      <x:c r="A3" t="str">
        <x:v>URL</x:v>
      </x:c>
      <x:c r="B3" s="4" t="str">
        <x:v>https://support.microsoft.com/es-es/excel/use-conditional-formatting-to-highlight-information-in-excel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