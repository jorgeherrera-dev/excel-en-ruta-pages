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9b5cad9154f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ados dinámicos" sheetId="1" r:id="Rcd404bfe8dd547ea"/>
    <x:sheet xmlns:r="http://schemas.openxmlformats.org/officeDocument/2006/relationships" name="Instrucciones" sheetId="2" r:id="R1b4f7d28bc444b95"/>
    <x:sheet xmlns:r="http://schemas.openxmlformats.org/officeDocument/2006/relationships" name="Fuente técnica" sheetId="3" r:id="Rbaaaac4907fd42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1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6edea52ee4383" /><Relationship Type="http://schemas.openxmlformats.org/officeDocument/2006/relationships/theme" Target="/xl/theme/theme1.xml" Id="Rf0dd3ef569084e3c" /><Relationship Type="http://schemas.openxmlformats.org/officeDocument/2006/relationships/sharedStrings" Target="/xl/sharedStrings.xml" Id="Rb016c6e17e0447de" /><Relationship Type="http://schemas.openxmlformats.org/officeDocument/2006/relationships/worksheet" Target="/xl/worksheets/sheet1.xml" Id="Rcd404bfe8dd547ea" /><Relationship Type="http://schemas.openxmlformats.org/officeDocument/2006/relationships/worksheet" Target="/xl/worksheets/sheet2.xml" Id="R1b4f7d28bc444b95" /><Relationship Type="http://schemas.openxmlformats.org/officeDocument/2006/relationships/worksheet" Target="/xl/worksheets/sheet3.xml" Id="Rbaaaac4907fd42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7" hidden="0" customWidth="1"/>
    <x:col min="4" max="4" width="16" hidden="0" customWidth="1"/>
    <x:col min="5" max="5" width="18" hidden="0" customWidth="1"/>
    <x:col min="6" max="6" width="16" hidden="0" customWidth="1"/>
    <x:col min="7" max="7" width="24" hidden="0" customWidth="1"/>
    <x:col min="8" max="8" width="30" hidden="0" customWidth="1"/>
  </x:cols>
  <x:sheetData>
    <x:row r="1" ht="24" customHeight="1">
      <x:c r="A1" s="2" t="str">
        <x:v>M05-L06 — Fechas y estados dinámicos</x:v>
      </x:c>
    </x:row>
    <x:row r="2" ht="40" customHeight="1">
      <x:c r="A2" s="4" t="str">
        <x:v>Combina HOY con lógica condicional para que el estado cambie automáticamente conforme avanza el calendario.</x:v>
      </x:c>
    </x:row>
    <x:row r="4">
      <x:c r="A4" s="9" t="str">
        <x:v>Actividad</x:v>
      </x:c>
      <x:c r="B4" s="9" t="str">
        <x:v>Responsable</x:v>
      </x:c>
      <x:c r="C4" s="9" t="str">
        <x:v>Fecha límite</x:v>
      </x:c>
      <x:c r="D4" s="9" t="str">
        <x:v>Cierre manual</x:v>
      </x:c>
      <x:c r="E4" s="9" t="str">
        <x:v>Estado dinámico</x:v>
      </x:c>
      <x:c r="F4" s="9" t="str">
        <x:v>Días restantes</x:v>
      </x:c>
      <x:c r="G4" s="9" t="str">
        <x:v>Regla de color</x:v>
      </x:c>
      <x:c r="H4" s="9" t="str">
        <x:v>Interpretación</x:v>
      </x:c>
    </x:row>
    <x:row r="5">
      <x:c r="A5" t="str">
        <x:v>Renovar licencia</x:v>
      </x:c>
      <x:c r="B5" t="str">
        <x:v>Ana</x:v>
      </x:c>
      <x:c r="C5" s="14" t="n">
        <x:f>TODAY()+(-3)</x:f>
        <x:v>46258</x:v>
      </x:c>
      <x:c r="D5" t="str">
        <x:v>No</x:v>
      </x:c>
      <x:c r="E5" s="16"/>
      <x:c r="F5" s="24"/>
      <x:c r="G5" s="18" t="str">
        <x:v>=$E5="Vencido"</x:v>
      </x:c>
      <x:c r="H5" t="str">
        <x:v>Debe cambiar con la fecha</x:v>
      </x:c>
    </x:row>
    <x:row r="6">
      <x:c r="A6" t="str">
        <x:v>Enviar informe</x:v>
      </x:c>
      <x:c r="B6" t="str">
        <x:v>Luis</x:v>
      </x:c>
      <x:c r="C6" s="14" t="n">
        <x:f>TODAY()+(4)</x:f>
        <x:v>46265</x:v>
      </x:c>
      <x:c r="D6" t="str">
        <x:v>No</x:v>
      </x:c>
      <x:c r="E6" s="16"/>
      <x:c r="F6" s="24"/>
      <x:c r="G6" s="18" t="str">
        <x:v>=$E6="Próximo"</x:v>
      </x:c>
      <x:c r="H6" t="str">
        <x:v>Dentro de 7 días</x:v>
      </x:c>
    </x:row>
    <x:row r="7">
      <x:c r="A7" t="str">
        <x:v>Actualizar servidor</x:v>
      </x:c>
      <x:c r="B7" t="str">
        <x:v>María</x:v>
      </x:c>
      <x:c r="C7" s="14" t="n">
        <x:f>TODAY()+(-8)</x:f>
        <x:v>46253</x:v>
      </x:c>
      <x:c r="D7" t="str">
        <x:v>Sí</x:v>
      </x:c>
      <x:c r="E7" s="16"/>
      <x:c r="F7" s="24"/>
      <x:c r="G7" s="18" t="str">
        <x:v>=$E7="Completado"</x:v>
      </x:c>
      <x:c r="H7" t="str">
        <x:v>El cierre manual tiene prioridad</x:v>
      </x:c>
    </x:row>
    <x:row r="8">
      <x:c r="A8" t="str">
        <x:v>Comprar tóner</x:v>
      </x:c>
      <x:c r="B8" t="str">
        <x:v>Carlos</x:v>
      </x:c>
      <x:c r="C8" s="14" t="n">
        <x:f>TODAY()+(21)</x:f>
        <x:v>46282</x:v>
      </x:c>
      <x:c r="D8" t="str">
        <x:v>No</x:v>
      </x:c>
      <x:c r="E8" s="16"/>
      <x:c r="F8" s="24"/>
      <x:c r="G8" s="18" t="str">
        <x:v>=$E8="En plazo"</x:v>
      </x:c>
      <x:c r="H8" t="str">
        <x:v>Más de 7 días</x:v>
      </x:c>
    </x:row>
    <x:row r="9">
      <x:c r="A9" t="str">
        <x:v>Capacitación</x:v>
      </x:c>
      <x:c r="B9" t="str">
        <x:v>Sofía</x:v>
      </x:c>
      <x:c r="C9" s="14" t="n">
        <x:f>TODAY()+(1)</x:f>
        <x:v>46262</x:v>
      </x:c>
      <x:c r="D9" t="str">
        <x:v>No</x:v>
      </x:c>
      <x:c r="E9" s="16"/>
      <x:c r="F9" s="24"/>
      <x:c r="G9" s="18" t="str">
        <x:v>=$E9="Próximo"</x:v>
      </x:c>
      <x:c r="H9" t="str">
        <x:v>Muy cercana</x:v>
      </x:c>
    </x:row>
    <x:row r="10">
      <x:c r="A10" t="str">
        <x:v>Inventario</x:v>
      </x:c>
      <x:c r="B10" t="str">
        <x:v>Pedro</x:v>
      </x:c>
      <x:c r="C10" s="14" t="n">
        <x:f>TODAY()+(5)</x:f>
        <x:v>46266</x:v>
      </x:c>
      <x:c r="D10" t="str">
        <x:v>Sí</x:v>
      </x:c>
      <x:c r="E10" s="16"/>
      <x:c r="F10" s="24"/>
      <x:c r="G10" s="18" t="str">
        <x:v>=$E10="Completado"</x:v>
      </x:c>
      <x:c r="H10" t="str">
        <x:v>Completado</x:v>
      </x:c>
    </x:row>
    <x:row r="11">
      <x:c r="A11" t="str">
        <x:v>Contrato</x:v>
      </x:c>
      <x:c r="B11" t="str">
        <x:v>Elena</x:v>
      </x:c>
      <x:c r="C11" s="14" t="n">
        <x:f>TODAY()+(-1)</x:f>
        <x:v>46260</x:v>
      </x:c>
      <x:c r="D11" t="str">
        <x:v>No</x:v>
      </x:c>
      <x:c r="E11" s="16"/>
      <x:c r="F11" s="24"/>
      <x:c r="G11" s="18" t="str">
        <x:v>=$E11="Vencido"</x:v>
      </x:c>
      <x:c r="H11" t="str">
        <x:v>Fecha pasada</x:v>
      </x:c>
    </x:row>
    <x:row r="12">
      <x:c r="A12" t="str">
        <x:v>Respaldo anual</x:v>
      </x:c>
      <x:c r="B12" t="str">
        <x:v>Jorge</x:v>
      </x:c>
      <x:c r="C12" s="14" t="n">
        <x:f>TODAY()+(45)</x:f>
        <x:v>46306</x:v>
      </x:c>
      <x:c r="D12" t="str">
        <x:v>No</x:v>
      </x:c>
      <x:c r="E12" s="16"/>
      <x:c r="F12" s="24"/>
      <x:c r="G12" s="18" t="str">
        <x:v>=$E12="En plazo"</x:v>
      </x:c>
      <x:c r="H12" t="str">
        <x:v>Fecha futura</x:v>
      </x:c>
    </x:row>
  </x:sheetData>
  <x:mergeCells>
    <x:mergeCell ref="A1:H1"/>
    <x:mergeCell ref="A2:H2"/>
  </x:mergeCells>
  <x:dataValidations count="1">
    <x:dataValidation type="list" sqref="D5:D12">
      <x:formula1>"Sí,No"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20" t="str">
        <x:v>M05-L06 — Fechas y estados dinámicos</x:v>
      </x:c>
    </x:row>
    <x:row r="2">
      <x:c r="A2" s="4" t="str">
        <x:v>1. Usa HOY/TODAY como referencia móvil del calendario.</x:v>
      </x:c>
    </x:row>
    <x:row r="3">
      <x:c r="A3" s="4" t="str">
        <x:v>2. Da prioridad al estado Completado antes de evaluar la fecha.</x:v>
      </x:c>
    </x:row>
    <x:row r="4">
      <x:c r="A4" s="4" t="str">
        <x:v>3. Clasifica después en Vencido, Próximo o En plazo.</x:v>
      </x:c>
    </x:row>
    <x:row r="5">
      <x:c r="A5" s="4" t="str">
        <x:v>4. Calcula días restantes para comprobar la lógica.</x:v>
      </x:c>
    </x:row>
    <x:row r="6">
      <x:c r="A6" s="4" t="str">
        <x:v>5. Aplica formato condicional sobre el Estado dinámico o sobre toda la fila según el objetivo.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9" t="str">
        <x:v>Referencia oficial</x:v>
      </x:c>
      <x:c r="B1" s="22" t="str">
        <x:v>Detalle</x:v>
      </x:c>
    </x:row>
    <x:row r="2">
      <x:c r="A2" t="str">
        <x:v>Fuente</x:v>
      </x:c>
      <x:c r="B2" s="4" t="str">
        <x:v>Microsoft Support — Formato condicional + fórmulas condicionales</x:v>
      </x:c>
    </x:row>
    <x:row r="3">
      <x:c r="A3" t="str">
        <x:v>URL</x:v>
      </x:c>
      <x:c r="B3" s="4" t="str">
        <x:v>https://support.microsoft.com/es-es/excel/use-conditional-formatting-to-highlight-information-in-excel
https://support.microsoft.com/es-es/excel/create-conditional-formulas</x:v>
      </x:c>
    </x:row>
    <x:row r="4">
      <x:c r="A4" t="str">
        <x:v>Consulta</x:v>
      </x:c>
      <x:c r="B4" s="4" t="str">
        <x:v>27/08/2026 — La plataforma explica el procedimiento; esta referencia respalda el comportamiento técnico.</x:v>
      </x:c>
    </x:row>
  </x:sheetData>
  <x:pageMargins left="0.7" right="0.7" top="0.75" bottom="0.75" header="0.3" footer="0.3"/>
</x:worksheet>
</file>