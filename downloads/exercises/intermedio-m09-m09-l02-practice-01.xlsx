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12d6dbdf6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16d0881823524e71"/>
    <x:sheet xmlns:r="http://schemas.openxmlformats.org/officeDocument/2006/relationships" name="Instrucciones" sheetId="2" r:id="R1eb3084df5a3466f"/>
    <x:sheet xmlns:r="http://schemas.openxmlformats.org/officeDocument/2006/relationships" name="Fuente técnica" sheetId="3" r:id="R290c94ac9b7c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1" xfId="0" applyNumberFormat="1" applyFont="1" applyFill="1" applyBorder="1"/>
    <x:xf numFmtId="200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57588e23f4e1c" /><Relationship Type="http://schemas.openxmlformats.org/officeDocument/2006/relationships/theme" Target="/xl/theme/theme1.xml" Id="R0352a6127a6f4577" /><Relationship Type="http://schemas.openxmlformats.org/officeDocument/2006/relationships/sharedStrings" Target="/xl/sharedStrings.xml" Id="Rff10147a93ac4e9e" /><Relationship Type="http://schemas.openxmlformats.org/officeDocument/2006/relationships/worksheet" Target="/xl/worksheets/sheet1.xml" Id="R16d0881823524e71" /><Relationship Type="http://schemas.openxmlformats.org/officeDocument/2006/relationships/worksheet" Target="/xl/worksheets/sheet2.xml" Id="R1eb3084df5a3466f" /><Relationship Type="http://schemas.openxmlformats.org/officeDocument/2006/relationships/worksheet" Target="/xl/worksheets/sheet3.xml" Id="R290c94ac9b7c44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0" hidden="0" customWidth="1"/>
    <x:col min="8" max="8" width="44" hidden="0" customWidth="1"/>
  </x:cols>
  <x:sheetData>
    <x:row r="1" ht="24" customHeight="1">
      <x:c r="A1" s="2" t="str">
        <x:v>M09-L02 — Escenarios</x:v>
      </x:c>
    </x:row>
    <x:row r="2" ht="42" customHeight="1">
      <x:c r="A2" s="4" t="str">
        <x:v>Guarda varios conjuntos de valores de entrada y alterna entre ellos sin reescribir manualmente el modelo.</x:v>
      </x:c>
    </x:row>
    <x:row r="4">
      <x:c r="A4" s="9" t="str">
        <x:v>Elemento</x:v>
      </x:c>
      <x:c r="B4" s="9" t="str">
        <x:v>Valor actual</x:v>
      </x:c>
      <x:c r="C4" s="9" t="str">
        <x:v>Tipo</x:v>
      </x:c>
      <x:c r="D4" s="9" t="str">
        <x:v>Escenario conservador</x:v>
      </x:c>
      <x:c r="E4" s="9" t="str">
        <x:v>Escenario esperado</x:v>
      </x:c>
      <x:c r="F4" s="9" t="str">
        <x:v>Escenario expansión</x:v>
      </x:c>
      <x:c r="G4" s="9" t="str">
        <x:v>Unidad</x:v>
      </x:c>
      <x:c r="H4" s="9" t="str">
        <x:v>Nota</x:v>
      </x:c>
    </x:row>
    <x:row r="5">
      <x:c r="A5" t="str">
        <x:v>Precio</x:v>
      </x:c>
      <x:c r="B5" s="16" t="n">
        <x:v>320</x:v>
      </x:c>
      <x:c r="C5" t="str">
        <x:v>Cambiante</x:v>
      </x:c>
      <x:c r="D5" s="22" t="n">
        <x:v>300</x:v>
      </x:c>
      <x:c r="E5" s="22" t="n">
        <x:v>320</x:v>
      </x:c>
      <x:c r="F5" s="22" t="n">
        <x:v>345</x:v>
      </x:c>
      <x:c r="G5" t="str">
        <x:v>$/unidad</x:v>
      </x:c>
      <x:c r="H5" s="14" t="str"/>
    </x:row>
    <x:row r="6">
      <x:c r="A6" t="str">
        <x:v>Unidades</x:v>
      </x:c>
      <x:c r="B6" s="20" t="n">
        <x:v>1100</x:v>
      </x:c>
      <x:c r="C6" t="str">
        <x:v>Cambiante</x:v>
      </x:c>
      <x:c r="D6" s="22" t="n">
        <x:v>850</x:v>
      </x:c>
      <x:c r="E6" s="22" t="n">
        <x:v>1100</x:v>
      </x:c>
      <x:c r="F6" s="22" t="n">
        <x:v>1450</x:v>
      </x:c>
      <x:c r="G6" t="str">
        <x:v>unidades</x:v>
      </x:c>
      <x:c r="H6" s="14" t="str"/>
    </x:row>
    <x:row r="7">
      <x:c r="A7" t="str">
        <x:v>Costo variable</x:v>
      </x:c>
      <x:c r="B7" s="16" t="n">
        <x:v>185</x:v>
      </x:c>
      <x:c r="C7" t="str">
        <x:v>Cambiante</x:v>
      </x:c>
      <x:c r="D7" s="22" t="n">
        <x:v>195</x:v>
      </x:c>
      <x:c r="E7" s="22" t="n">
        <x:v>185</x:v>
      </x:c>
      <x:c r="F7" s="22" t="n">
        <x:v>178</x:v>
      </x:c>
      <x:c r="G7" t="str">
        <x:v>$/unidad</x:v>
      </x:c>
      <x:c r="H7" s="14" t="str"/>
    </x:row>
    <x:row r="8">
      <x:c r="A8" t="str">
        <x:v>Costos fijos</x:v>
      </x:c>
      <x:c r="B8" s="16" t="n">
        <x:v>52000</x:v>
      </x:c>
      <x:c r="C8" t="str">
        <x:v>Cambiante</x:v>
      </x:c>
      <x:c r="D8" s="22" t="n">
        <x:v>50000</x:v>
      </x:c>
      <x:c r="E8" s="22" t="n">
        <x:v>52000</x:v>
      </x:c>
      <x:c r="F8" s="22" t="n">
        <x:v>65000</x:v>
      </x:c>
      <x:c r="G8" t="str">
        <x:v>$</x:v>
      </x:c>
      <x:c r="H8" s="14" t="str"/>
    </x:row>
    <x:row r="9">
      <x:c r="A9" t="str">
        <x:v>Utilidad</x:v>
      </x:c>
      <x:c r="B9" s="17" t="n">
        <x:f>B6*(B5-B7)-B8</x:f>
        <x:v>96500</x:v>
      </x:c>
      <x:c r="C9" t="str">
        <x:v>Resultado</x:v>
      </x:c>
      <x:c r="D9" s="17" t="n">
        <x:f>D6*(D5-D7)-D8</x:f>
        <x:v>39250</x:v>
      </x:c>
      <x:c r="E9" s="17" t="n">
        <x:f>E6*(E5-E7)-E8</x:f>
        <x:v>96500</x:v>
      </x:c>
      <x:c r="F9" s="17" t="n">
        <x:f>F6*(F5-F7)-F8</x:f>
        <x:v>177150</x:v>
      </x:c>
      <x:c r="G9" t="str">
        <x:v>$</x:v>
      </x:c>
      <x:c r="H9" s="14" t="str">
        <x:v>Unidades × (Precio − Costo variable) − Costos fijos</x:v>
      </x:c>
    </x:row>
    <x:row r="10">
      <x:c r="A10" t="str">
        <x:v>Margen por unidad</x:v>
      </x:c>
      <x:c r="B10" s="17" t="n">
        <x:f>B5-B7</x:f>
        <x:v>135</x:v>
      </x:c>
      <x:c r="C10" t="str">
        <x:v>Resultado</x:v>
      </x:c>
      <x:c r="D10" s="17" t="n">
        <x:f>D5-D7</x:f>
        <x:v>105</x:v>
      </x:c>
      <x:c r="E10" s="17" t="n">
        <x:f>E5-E7</x:f>
        <x:v>135</x:v>
      </x:c>
      <x:c r="F10" s="17" t="n">
        <x:f>F5-F7</x:f>
        <x:v>167</x:v>
      </x:c>
      <x:c r="G10" t="str">
        <x:v>$/unidad</x:v>
      </x:c>
      <x:c r="H10" s="14" t="str">
        <x:v>Precio−Costo variable</x:v>
      </x:c>
    </x:row>
    <x:row r="12">
      <x:c r="A12" s="9" t="str">
        <x:v>Nombre del escenario</x:v>
      </x:c>
      <x:c r="B12" s="9" t="str">
        <x:v>Precio</x:v>
      </x:c>
      <x:c r="C12" s="9" t="str">
        <x:v>Unidades</x:v>
      </x:c>
      <x:c r="D12" s="9" t="str">
        <x:v>Costo variable</x:v>
      </x:c>
      <x:c r="E12" s="9" t="str">
        <x:v>Costos fijos</x:v>
      </x:c>
      <x:c r="F12" s="9" t="str">
        <x:v>Utilidad esperada</x:v>
      </x:c>
      <x:c r="G12" s="9" t="str">
        <x:v>Margen esperado</x:v>
      </x:c>
      <x:c r="H12" s="9" t="str">
        <x:v>Estado</x:v>
      </x:c>
    </x:row>
    <x:row r="13">
      <x:c r="A13" t="str">
        <x:v>Conservador</x:v>
      </x:c>
      <x:c r="B13" s="17" t="n">
        <x:v>300</x:v>
      </x:c>
      <x:c r="C13" s="24" t="n">
        <x:v>850</x:v>
      </x:c>
      <x:c r="D13" s="17" t="n">
        <x:v>195</x:v>
      </x:c>
      <x:c r="E13" s="17" t="n">
        <x:v>50000</x:v>
      </x:c>
      <x:c r="F13" s="17" t="n">
        <x:f>C13*(B13-D13)-E13</x:f>
        <x:v>39250</x:v>
      </x:c>
      <x:c r="G13" s="17" t="n">
        <x:f>B13-D13</x:f>
        <x:v>105</x:v>
      </x:c>
      <x:c r="H13"/>
    </x:row>
    <x:row r="14">
      <x:c r="A14" t="str">
        <x:v>Esperado</x:v>
      </x:c>
      <x:c r="B14" s="17" t="n">
        <x:v>320</x:v>
      </x:c>
      <x:c r="C14" s="24" t="n">
        <x:v>1100</x:v>
      </x:c>
      <x:c r="D14" s="17" t="n">
        <x:v>185</x:v>
      </x:c>
      <x:c r="E14" s="17" t="n">
        <x:v>52000</x:v>
      </x:c>
      <x:c r="F14" s="17" t="n">
        <x:f>C14*(B14-D14)-E14</x:f>
        <x:v>96500</x:v>
      </x:c>
      <x:c r="G14" s="17" t="n">
        <x:f>B14-D14</x:f>
        <x:v>135</x:v>
      </x:c>
      <x:c r="H14"/>
    </x:row>
    <x:row r="15">
      <x:c r="A15" t="str">
        <x:v>Expansión</x:v>
      </x:c>
      <x:c r="B15" s="17" t="n">
        <x:v>345</x:v>
      </x:c>
      <x:c r="C15" s="24" t="n">
        <x:v>1450</x:v>
      </x:c>
      <x:c r="D15" s="17" t="n">
        <x:v>178</x:v>
      </x:c>
      <x:c r="E15" s="17" t="n">
        <x:v>65000</x:v>
      </x:c>
      <x:c r="F15" s="17" t="n">
        <x:f>C15*(B15-D15)-E15</x:f>
        <x:v>177150</x:v>
      </x:c>
      <x:c r="G15" s="17" t="n">
        <x:f>B15-D15</x:f>
        <x:v>167</x:v>
      </x:c>
      <x:c r="H15"/>
    </x:row>
    <x:row r="16">
      <x:c r="A16" t="str">
        <x:v>Valores actuales</x:v>
      </x:c>
      <x:c r="B16" s="17" t="n">
        <x:v>320</x:v>
      </x:c>
      <x:c r="C16" s="24" t="n">
        <x:v>1100</x:v>
      </x:c>
      <x:c r="D16" s="17" t="n">
        <x:v>185</x:v>
      </x:c>
      <x:c r="E16" s="17" t="n">
        <x:v>52000</x:v>
      </x:c>
      <x:c r="F16" s="17"/>
      <x:c r="G16" s="17"/>
      <x:c r="H16"/>
    </x:row>
    <x:row r="17">
      <x:c r="A17" t="str">
        <x:v>Resumen</x:v>
      </x:c>
      <x:c r="B17" t="str">
        <x:v>Generar desde Administrador de escenarios</x:v>
      </x:c>
      <x:c r="C17" t="str">
        <x:v>Celdas de resultado: B9:B10</x:v>
      </x:c>
      <x:c r="D17" t="str"/>
      <x:c r="E17" t="str"/>
      <x:c r="F17" t="str"/>
      <x:c r="G17" t="str"/>
      <x:c r="H1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26" t="str">
        <x:v>M09-L02 — Escenarios</x:v>
      </x:c>
    </x:row>
    <x:row r="2">
      <x:c r="A2" s="4" t="str">
        <x:v>1. Usa B5:B8 como celdas cambiantes.</x:v>
      </x:c>
    </x:row>
    <x:row r="3">
      <x:c r="A3" s="4" t="str">
        <x:v>2. Ve a Datos &gt; Análisis de hipótesis &gt; Administrador de escenarios.</x:v>
      </x:c>
    </x:row>
    <x:row r="4">
      <x:c r="A4" s="4" t="str">
        <x:v>3. Crea Conservador, Esperado y Expansión con los valores mostrados en D:F.</x:v>
      </x:c>
    </x:row>
    <x:row r="5">
      <x:c r="A5" s="4" t="str">
        <x:v>4. Usa Mostrar para alternar escenarios y observa B9:B10.</x:v>
      </x:c>
    </x:row>
    <x:row r="6">
      <x:c r="A6" s="4" t="str">
        <x:v>5. Genera un Resumen de escenario usando B9:B10 como celdas de resultado.</x:v>
      </x:c>
    </x:row>
    <x:row r="7">
      <x:c r="A7" s="4" t="str">
        <x:v>6. Compara el resumen con la tabla de control de A12:G15.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0" hidden="0" customWidth="1"/>
  </x:cols>
  <x:sheetData>
    <x:row r="1">
      <x:c r="A1" s="28" t="str">
        <x:v>Referencia oficial</x:v>
      </x:c>
      <x:c r="B1" s="28" t="str">
        <x:v>URL</x:v>
      </x:c>
    </x:row>
    <x:row r="2">
      <x:c r="A2" s="4" t="str">
        <x:v>Microsoft Support — Introducción al Análisis de hipótesis</x:v>
      </x:c>
      <x:c r="B2" s="4" t="str">
        <x:v>https://support.microsoft.com/en-us/excel/introduction-to-what-if-analysis</x:v>
      </x:c>
    </x:row>
    <x:row r="3">
      <x:c r="A3" s="4" t="str">
        <x:v>Consulta</x:v>
      </x:c>
      <x:c r="B3" s="4" t="str">
        <x:v>27/08/2026 — La plataforma explica el procedimiento; Microsoft Support respalda el comportamiento técnico.</x:v>
      </x:c>
    </x:row>
  </x:sheetData>
  <x:pageMargins left="0.7" right="0.7" top="0.75" bottom="0.75" header="0.3" footer="0.3"/>
</x:worksheet>
</file>